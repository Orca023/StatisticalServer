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StatisticalServer\"/>
    </mc:Choice>
  </mc:AlternateContent>
  <xr:revisionPtr revIDLastSave="0" documentId="13_ncr:1_{25C71704-D7FE-4CDE-8C36-62538AC2D089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Statistics 説明" sheetId="2" r:id="rId1"/>
    <sheet name="Sheet4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2" l="1"/>
  <c r="F4" i="2"/>
  <c r="F3" i="2"/>
  <c r="F2" i="2"/>
</calcChain>
</file>

<file path=xl/sharedStrings.xml><?xml version="1.0" encoding="utf-8"?>
<sst xmlns="http://schemas.openxmlformats.org/spreadsheetml/2006/main" count="81" uniqueCount="58">
  <si>
    <t>GitHub 倉庫網址：</t>
    <phoneticPr fontId="1" type="noConversion"/>
  </si>
  <si>
    <t>https://github.com/longvh211/Chromium-Automation-with-CDP-for-VBA</t>
    <phoneticPr fontId="1" type="noConversion"/>
  </si>
  <si>
    <t>https://github.com/longvh211/Edge-IE-Mode-Automation-with-IES-for-VBA/tree/main</t>
    <phoneticPr fontId="1" type="noConversion"/>
  </si>
  <si>
    <t>https://www.codeproject.com/Tips/5307593/Automate-Chrome-Edge-using-VBA</t>
    <phoneticPr fontId="1" type="noConversion"/>
  </si>
  <si>
    <t>codeproject 官網網址：</t>
  </si>
  <si>
    <t>解決方法如下：</t>
    <phoneticPr fontId="1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</si>
  <si>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1" type="noConversion"/>
  </si>
  <si>
    <t>注意，在 VBA 中使用 CreateObject("InternetExplorer.Application") 方法創建對象控制 IE 瀏覽器，需要事先已引用 Window 系統的 API 項目「Microsoft Internet Controls」，否則會報錯誤：「編譯錯誤：使用者自訂型態尚未定義」。</t>
    <phoneticPr fontId="1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</si>
  <si>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1" type="noConversion"/>
  </si>
  <si>
    <t>在 VBA 的編輯環境中，單擊「工具」菜單，然後單價「設定引用項目」條目；在彈出的「設定引用項目-VBAProject」對話框中，找到「Microsoft Internet Controls」項目，勾選後，單擊「確定」按鈕，退出即可。</t>
    <phoneticPr fontId="1" type="noConversion"/>
  </si>
  <si>
    <t>https://github.com/VBA-tools/VBA-JSON</t>
    <phoneticPr fontId="1" type="noConversion"/>
  </si>
  <si>
    <t>trainXdata</t>
    <phoneticPr fontId="1" type="noConversion"/>
  </si>
  <si>
    <t>Pdata_0</t>
    <phoneticPr fontId="1" type="noConversion"/>
  </si>
  <si>
    <t>trainYdata_1</t>
    <phoneticPr fontId="1" type="noConversion"/>
  </si>
  <si>
    <t>trainYdata_2</t>
    <phoneticPr fontId="1" type="noConversion"/>
  </si>
  <si>
    <t>trainYdata_3</t>
    <phoneticPr fontId="1" type="noConversion"/>
  </si>
  <si>
    <t>Plower</t>
    <phoneticPr fontId="1" type="noConversion"/>
  </si>
  <si>
    <t>Pupper</t>
    <phoneticPr fontId="1" type="noConversion"/>
  </si>
  <si>
    <t>weight</t>
    <phoneticPr fontId="1" type="noConversion"/>
  </si>
  <si>
    <t>控制臺啓動統計算法服務器示例：</t>
    <phoneticPr fontId="1" type="noConversion"/>
  </si>
  <si>
    <t>控制臺命令行啓動 Julia 統計算法服務器：</t>
    <phoneticPr fontId="1" type="noConversion"/>
  </si>
  <si>
    <t>參數 -p 4 表示設定允許 4 個進程并發;</t>
    <phoneticPr fontId="1" type="noConversion"/>
  </si>
  <si>
    <t>控制臺命令行啓動 Python 統計算法服務器：</t>
    <phoneticPr fontId="1" type="noConversion"/>
  </si>
  <si>
    <t>testYdata_1</t>
    <phoneticPr fontId="1" type="noConversion"/>
  </si>
  <si>
    <t>testYdata_2</t>
    <phoneticPr fontId="1" type="noConversion"/>
  </si>
  <si>
    <t>testYdata_3</t>
    <phoneticPr fontId="1" type="noConversion"/>
  </si>
  <si>
    <t>或者</t>
    <phoneticPr fontId="1" type="noConversion"/>
  </si>
  <si>
    <t>控制臺命令行啓動 MongoDB 數據庫服務器端應用：</t>
    <phoneticPr fontId="1" type="noConversion"/>
  </si>
  <si>
    <t>控制臺命令行啓動用於鏈接操作 MongoDB 數據庫服務器端應用的自定義的 Node.js 服務器：</t>
    <phoneticPr fontId="1" type="noConversion"/>
  </si>
  <si>
    <t>控制臺命令行啓動 MongoDB 數據庫客戶端應用（注意，這一步操作不必須，不是必須啓動  MongoDB 數據庫客戶端應用，可以選擇不啓動）：</t>
    <phoneticPr fontId="1" type="noConversion"/>
  </si>
  <si>
    <t>vba 解析轉換字典（Dict）和 JSON 字符串使用 codeproject 網站貢獻的第三方擴展類模塊：clsBrowser.cls、clsCore.cls、clsJsConverter.cls</t>
    <phoneticPr fontId="1" type="noConversion"/>
  </si>
  <si>
    <t>C:\&gt;C:\Criss\MongoDB\Server\4.2\bin\mongod.exe --config=C:\Criss\DatabaseServer\MongoDB\mongod.cfg</t>
    <phoneticPr fontId="1" type="noConversion"/>
  </si>
  <si>
    <t>C:\&gt;C:\Criss\NodeJS\nodejs-14.4.0\node.exe C:\Criss\DatabaseServer\MongoDB\Nodejs2MongodbServer.js host=0.0.0.0 port=27016 number_cluster_Workers=0 MongodbHost=0.0.0.0 MongodbPort=27017 dbUser=admin_MathematicalStatisticsData dbPass=admin dbName=MathematicalStatisticsData</t>
    <phoneticPr fontId="1" type="noConversion"/>
  </si>
  <si>
    <t>C:\&gt;C:\Criss\MongoDB\Server\4.2\bin\mongo.exe mongodb://127.0.0.1:27017/MathematicalStatisticsData</t>
    <phoneticPr fontId="1" type="noConversion"/>
  </si>
  <si>
    <t>test-Xvals</t>
  </si>
  <si>
    <t>test-Xfit-Uncertainty-Lower</t>
  </si>
  <si>
    <t>test-Xfit-Uncertainty-Upper</t>
  </si>
  <si>
    <t>Coefficient</t>
    <phoneticPr fontId="1" type="noConversion"/>
  </si>
  <si>
    <t>Yfit</t>
    <phoneticPr fontId="1" type="noConversion"/>
  </si>
  <si>
    <t>Coefficient-StandardDeviation</t>
    <phoneticPr fontId="1" type="noConversion"/>
  </si>
  <si>
    <t>Yfit-Uncertainty-Lower</t>
    <phoneticPr fontId="1" type="noConversion"/>
  </si>
  <si>
    <t>Yfit-Uncertainty-Upper</t>
    <phoneticPr fontId="1" type="noConversion"/>
  </si>
  <si>
    <t>Residual</t>
    <phoneticPr fontId="1" type="noConversion"/>
  </si>
  <si>
    <t>Coefficient-Confidence-Lower-95%</t>
    <phoneticPr fontId="1" type="noConversion"/>
  </si>
  <si>
    <t>Coefficient-Confidence-Upper-95%</t>
    <phoneticPr fontId="1" type="noConversion"/>
  </si>
  <si>
    <t>testXdata</t>
    <phoneticPr fontId="1" type="noConversion"/>
  </si>
  <si>
    <t>test-Yfit</t>
  </si>
  <si>
    <t>C:\&gt;C:\StatisticalServer\Julia\Julia-1.9.3\bin\julia.exe -p 4 --project=C:/StatisticalServer/StatisticalServerJulia/ C:/StatisticalServer/StatisticalServerJulia/src/StatisticalAlgorithmServer.jl</t>
    <phoneticPr fontId="1" type="noConversion"/>
  </si>
  <si>
    <t>參數 --project=C:/StatisticalServer/StatisticalServerJulia/ 表示隔離全局環境，只是用項目私人環境 C:/StatisticalServer/StatisticalServerJulia/ 啓動 Julia 解釋器;</t>
    <phoneticPr fontId="1" type="noConversion"/>
  </si>
  <si>
    <t>C:\&gt;C:\StatisticalServer\Python\Python311\python.exe C:/StatisticalServer/StatisticalServerPython/src/StatisticalAlgorithmServer.py</t>
    <phoneticPr fontId="1" type="noConversion"/>
  </si>
  <si>
    <t>C:\&gt;C:\StatisticalServer\StatisticalServerPython\Scripts\python.exe C:/StatisticalServer/StatisticalServerPython/src/StatisticalAlgorithmServer.py</t>
    <phoneticPr fontId="1" type="noConversion"/>
  </si>
  <si>
    <t>參數 C:\StatisticalServer\StatisticalServerPython\Scripts\python.exe 表示使用隔離環境 C:/StatisticalServer/StatisticalServerPython/ 中的 python.exe 啓動運行;</t>
    <phoneticPr fontId="1" type="noConversion"/>
  </si>
  <si>
    <t>testYdata</t>
    <phoneticPr fontId="1" type="noConversion"/>
  </si>
  <si>
    <t>-inf</t>
  </si>
  <si>
    <t>+inf</t>
  </si>
  <si>
    <t>test-Xvals</t>
    <phoneticPr fontId="1" type="noConversion"/>
  </si>
  <si>
    <t>test-Xfit-Uncertainty-Lower</t>
    <phoneticPr fontId="1" type="noConversion"/>
  </si>
  <si>
    <t>test-Xfit-Uncertainty-Upper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</si>
</sst>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49" fontId="2" fillId="0" borderId="0" xfId="0" quotePrefix="1" applyNumberFormat="1" applyFont="1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AEDF4-2F5D-49DD-B406-9F8C6F9BC17D}">
  <sheetPr codeName="Sheet2"/>
  <dimension ref="A1:Y60"/>
  <sheetViews>
    <sheetView workbookViewId="0">
      <selection activeCell="M1" sqref="M1"/>
    </sheetView>
  </sheetViews>
  <sheetFormatPr defaultRowHeight="13.8" x14ac:dyDescent="0.25"/>
  <cols>
    <col min="6" max="6" width="9.109375" bestFit="1" customWidth="1"/>
    <col min="14" max="15" width="9" customWidth="1"/>
  </cols>
  <sheetData>
    <row r="1" spans="1:25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23</v>
      </c>
      <c r="J1" t="s">
        <v>24</v>
      </c>
      <c r="K1" t="s">
        <v>25</v>
      </c>
      <c r="L1" t="s">
        <v>45</v>
      </c>
      <c r="N1" t="s">
        <v>37</v>
      </c>
      <c r="O1" t="s">
        <v>39</v>
      </c>
      <c r="P1" t="s">
        <v>43</v>
      </c>
      <c r="Q1" t="s">
        <v>44</v>
      </c>
      <c r="R1" t="s">
        <v>38</v>
      </c>
      <c r="S1" t="s">
        <v>40</v>
      </c>
      <c r="T1" t="s">
        <v>41</v>
      </c>
      <c r="U1" t="s">
        <v>42</v>
      </c>
      <c r="V1" t="s">
        <v>34</v>
      </c>
      <c r="W1" t="s">
        <v>35</v>
      </c>
      <c r="X1" t="s">
        <v>36</v>
      </c>
      <c r="Y1" t="s">
        <v>46</v>
      </c>
    </row>
    <row r="2" spans="1:25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f>MIN($B$2:$B$12)</f>
        <v>100</v>
      </c>
      <c r="G2" s="3">
        <v>-179769313486231</v>
      </c>
      <c r="H2" s="3">
        <v>179769313486231</v>
      </c>
      <c r="I2">
        <v>150</v>
      </c>
      <c r="J2">
        <v>148</v>
      </c>
      <c r="K2">
        <v>152</v>
      </c>
      <c r="L2">
        <v>0.5</v>
      </c>
      <c r="N2">
        <v>100.007982422761</v>
      </c>
      <c r="O2">
        <v>7.8179012318481192E-3</v>
      </c>
      <c r="P2">
        <v>99.990825004586199</v>
      </c>
      <c r="Q2">
        <v>100.02513984093601</v>
      </c>
      <c r="R2">
        <v>100.008980483748</v>
      </c>
      <c r="S2">
        <v>99.008949929437904</v>
      </c>
      <c r="T2">
        <v>101.00901103813</v>
      </c>
      <c r="U2">
        <v>8.9804837480187399E-3</v>
      </c>
      <c r="V2">
        <v>0.500050586546119</v>
      </c>
      <c r="W2">
        <v>0.49993631042327302</v>
      </c>
      <c r="X2">
        <v>0.50016069264295704</v>
      </c>
      <c r="Y2">
        <v>149.99494193308001</v>
      </c>
    </row>
    <row r="3" spans="1:25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f>MAX($A$2:$A$12)/2+MIN($A$2:$A$12)/2</f>
        <v>5.0000049999999998</v>
      </c>
      <c r="G3" s="3">
        <v>-179769313486231</v>
      </c>
      <c r="H3" s="3">
        <v>179769313486231</v>
      </c>
      <c r="I3">
        <v>200</v>
      </c>
      <c r="J3">
        <v>198</v>
      </c>
      <c r="K3">
        <v>202</v>
      </c>
      <c r="L3">
        <v>1</v>
      </c>
      <c r="N3">
        <v>42148.457755144802</v>
      </c>
      <c r="O3">
        <v>2104.7667308650498</v>
      </c>
      <c r="P3">
        <v>37529.268807710498</v>
      </c>
      <c r="Q3">
        <v>46767.646702579099</v>
      </c>
      <c r="R3">
        <v>199.99155580717999</v>
      </c>
      <c r="S3">
        <v>198.99113627345301</v>
      </c>
      <c r="T3">
        <v>200.99195129337301</v>
      </c>
      <c r="U3">
        <v>-8.4441928192973102E-3</v>
      </c>
      <c r="V3">
        <v>1.0000844445855399</v>
      </c>
      <c r="W3">
        <v>0.99979480881612803</v>
      </c>
      <c r="X3">
        <v>1.0003658460112701</v>
      </c>
      <c r="Y3">
        <v>199.99155580717999</v>
      </c>
    </row>
    <row r="4" spans="1:25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f>((MAX($B$2:$B$12)-MIN($B$2:$B$12))/AVERAGE($B$2:$B$12))/((MAX($A$2:$A$12)-MIN($A$2:$A$12))/AVERAGE($A$2:$A$12))</f>
        <v>0.83333431818280301</v>
      </c>
      <c r="G4" s="3">
        <v>-179769313486231</v>
      </c>
      <c r="H4" s="3">
        <v>179769313486231</v>
      </c>
      <c r="I4">
        <v>250</v>
      </c>
      <c r="J4">
        <v>248</v>
      </c>
      <c r="K4">
        <v>252</v>
      </c>
      <c r="L4">
        <v>1.5</v>
      </c>
      <c r="N4">
        <v>1.0001564001486001</v>
      </c>
      <c r="O4">
        <v>2.3749080822082099E-5</v>
      </c>
      <c r="P4">
        <v>1.0001042796499</v>
      </c>
      <c r="Q4">
        <v>1.0002085206472899</v>
      </c>
      <c r="R4">
        <v>299.99207069631598</v>
      </c>
      <c r="S4">
        <v>298.990136898385</v>
      </c>
      <c r="T4">
        <v>300.99390282508602</v>
      </c>
      <c r="U4">
        <v>-7.9293036833405495E-3</v>
      </c>
      <c r="V4">
        <v>1.5000892302637701</v>
      </c>
      <c r="W4">
        <v>1.4996310792101699</v>
      </c>
      <c r="X4">
        <v>1.50053513648402</v>
      </c>
      <c r="Y4">
        <v>249.991076900623</v>
      </c>
    </row>
    <row r="5" spans="1:25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f>MAX($B$2:$B$12)</f>
        <v>1100</v>
      </c>
      <c r="G5" s="3">
        <v>-179769313486231</v>
      </c>
      <c r="H5" s="3">
        <v>179769313486231</v>
      </c>
      <c r="I5">
        <v>350</v>
      </c>
      <c r="J5">
        <v>348</v>
      </c>
      <c r="K5">
        <v>352</v>
      </c>
      <c r="L5">
        <v>2.5</v>
      </c>
      <c r="N5">
        <v>4221377.9222408198</v>
      </c>
      <c r="O5">
        <v>210359.02359937699</v>
      </c>
      <c r="P5">
        <v>3759717.2248561098</v>
      </c>
      <c r="Q5">
        <v>4683038.6196255405</v>
      </c>
      <c r="R5">
        <v>399.99603100866</v>
      </c>
      <c r="S5">
        <v>398.99162476327399</v>
      </c>
      <c r="T5">
        <v>401.00021088419498</v>
      </c>
      <c r="U5">
        <v>-3.9689913392066904E-3</v>
      </c>
      <c r="V5">
        <v>2.5000614390805498</v>
      </c>
      <c r="W5">
        <v>2.4992792002397102</v>
      </c>
      <c r="X5">
        <v>2.5008235803856</v>
      </c>
      <c r="Y5">
        <v>349.993855842389</v>
      </c>
    </row>
    <row r="6" spans="1:25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F6">
        <v>1</v>
      </c>
      <c r="G6" s="3">
        <v>-179769313486231</v>
      </c>
      <c r="H6" s="3">
        <v>179769313486231</v>
      </c>
      <c r="I6">
        <v>450</v>
      </c>
      <c r="J6">
        <v>448</v>
      </c>
      <c r="K6">
        <v>452</v>
      </c>
      <c r="L6">
        <v>3.5</v>
      </c>
      <c r="R6">
        <v>500.00056734401699</v>
      </c>
      <c r="S6">
        <v>498.99282487668</v>
      </c>
      <c r="T6">
        <v>501.00791668250503</v>
      </c>
      <c r="U6">
        <v>5.6734401732683095E-4</v>
      </c>
      <c r="V6">
        <v>3.5000166891956201</v>
      </c>
      <c r="W6">
        <v>3.4989226192606502</v>
      </c>
      <c r="X6">
        <v>3.5010830372089701</v>
      </c>
      <c r="Y6">
        <v>449.99833100382199</v>
      </c>
    </row>
    <row r="7" spans="1:25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J7">
        <v>548</v>
      </c>
      <c r="K7">
        <v>552</v>
      </c>
      <c r="L7">
        <v>4.5</v>
      </c>
      <c r="R7">
        <v>600.00431688223</v>
      </c>
      <c r="S7">
        <v>598.99244766222603</v>
      </c>
      <c r="T7">
        <v>601.01558868078803</v>
      </c>
      <c r="U7">
        <v>4.3168822303414301E-3</v>
      </c>
      <c r="V7">
        <v>4.4999740099920702</v>
      </c>
      <c r="W7">
        <v>4.4985774707107202</v>
      </c>
      <c r="X7">
        <v>4.5013354333185402</v>
      </c>
      <c r="Y7">
        <v>550.00259909871897</v>
      </c>
    </row>
    <row r="8" spans="1:25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J8">
        <v>648</v>
      </c>
      <c r="K8">
        <v>652</v>
      </c>
      <c r="L8">
        <v>5.5</v>
      </c>
      <c r="R8">
        <v>700.00647696759495</v>
      </c>
      <c r="S8">
        <v>698.989753032473</v>
      </c>
      <c r="T8">
        <v>701.02236589467202</v>
      </c>
      <c r="U8">
        <v>6.4769675955176301E-3</v>
      </c>
      <c r="V8">
        <v>5.4999436681156899</v>
      </c>
      <c r="W8">
        <v>5.4982524599721003</v>
      </c>
      <c r="X8">
        <v>5.5015925977113698</v>
      </c>
      <c r="Y8">
        <v>650.00563331134595</v>
      </c>
    </row>
    <row r="9" spans="1:25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J9">
        <v>748</v>
      </c>
      <c r="K9">
        <v>752</v>
      </c>
      <c r="L9">
        <v>6.5</v>
      </c>
      <c r="R9">
        <v>800.00651727244201</v>
      </c>
      <c r="S9">
        <v>798.98426663280304</v>
      </c>
      <c r="T9">
        <v>801.02766604559099</v>
      </c>
      <c r="U9">
        <v>6.5172724425792599E-3</v>
      </c>
      <c r="V9">
        <v>6.4999321162192203</v>
      </c>
      <c r="W9">
        <v>6.4979530588239003</v>
      </c>
      <c r="X9">
        <v>6.5018619645851103</v>
      </c>
      <c r="Y9">
        <v>750.00678838230601</v>
      </c>
    </row>
    <row r="10" spans="1:25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J10">
        <v>848</v>
      </c>
      <c r="K10">
        <v>852</v>
      </c>
      <c r="L10">
        <v>7.5</v>
      </c>
      <c r="R10">
        <v>900.00406092777803</v>
      </c>
      <c r="S10">
        <v>898.97566294184401</v>
      </c>
      <c r="T10">
        <v>901.03106475069706</v>
      </c>
      <c r="U10">
        <v>4.0609277784824302E-3</v>
      </c>
      <c r="V10">
        <v>7.4999437930271897</v>
      </c>
      <c r="W10">
        <v>7.4976830315585898</v>
      </c>
      <c r="X10">
        <v>7.5021486475627697</v>
      </c>
      <c r="Y10">
        <v>850.00562056060801</v>
      </c>
    </row>
    <row r="11" spans="1:25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J11">
        <v>948</v>
      </c>
      <c r="K11">
        <v>952</v>
      </c>
      <c r="L11">
        <v>8.5</v>
      </c>
      <c r="R11">
        <v>999.99882619641699</v>
      </c>
      <c r="S11">
        <v>998.96370800853197</v>
      </c>
      <c r="T11">
        <v>1001.0322361364</v>
      </c>
      <c r="U11">
        <v>-1.17380358278751E-3</v>
      </c>
      <c r="V11">
        <v>8.4999819416874107</v>
      </c>
      <c r="W11">
        <v>8.4974451288016102</v>
      </c>
      <c r="X11">
        <v>8.5024563826828405</v>
      </c>
      <c r="Y11">
        <v>950.00180573668297</v>
      </c>
    </row>
    <row r="12" spans="1:25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J12">
        <v>1048</v>
      </c>
      <c r="K12">
        <v>1052</v>
      </c>
      <c r="L12">
        <v>9.5</v>
      </c>
      <c r="R12">
        <v>1099.9905944485199</v>
      </c>
      <c r="S12">
        <v>1098.94822805642</v>
      </c>
      <c r="T12">
        <v>1101.0309201882001</v>
      </c>
      <c r="U12">
        <v>-9.4055514782667108E-3</v>
      </c>
      <c r="V12">
        <v>9.5000490367475496</v>
      </c>
      <c r="W12">
        <v>9.4972414495017397</v>
      </c>
      <c r="X12">
        <v>9.5027880203292394</v>
      </c>
      <c r="Y12">
        <v>1049.9950967282</v>
      </c>
    </row>
    <row r="16" spans="1:25" ht="15.6" x14ac:dyDescent="0.35">
      <c r="G16" s="2"/>
      <c r="H16" s="2"/>
    </row>
    <row r="17" spans="2:17" ht="15.6" x14ac:dyDescent="0.35">
      <c r="G17" s="2"/>
      <c r="H17" s="2"/>
    </row>
    <row r="18" spans="2:17" ht="15.6" x14ac:dyDescent="0.35">
      <c r="G18" s="2"/>
      <c r="H18" s="2"/>
      <c r="O18" s="1"/>
    </row>
    <row r="19" spans="2:17" ht="15.6" x14ac:dyDescent="0.35">
      <c r="G19" s="2"/>
      <c r="H19" s="2"/>
      <c r="P19" s="1"/>
      <c r="Q19" s="1"/>
    </row>
    <row r="27" spans="2:17" x14ac:dyDescent="0.25">
      <c r="P27" s="1"/>
      <c r="Q27" s="1"/>
    </row>
    <row r="28" spans="2:17" x14ac:dyDescent="0.25">
      <c r="B28" t="s">
        <v>19</v>
      </c>
    </row>
    <row r="29" spans="2:17" x14ac:dyDescent="0.25">
      <c r="B29" t="s">
        <v>20</v>
      </c>
    </row>
    <row r="30" spans="2:17" x14ac:dyDescent="0.25">
      <c r="B30" t="s">
        <v>47</v>
      </c>
    </row>
    <row r="31" spans="2:17" x14ac:dyDescent="0.25">
      <c r="B31" t="s">
        <v>21</v>
      </c>
    </row>
    <row r="32" spans="2:17" x14ac:dyDescent="0.25">
      <c r="B32" t="s">
        <v>48</v>
      </c>
    </row>
    <row r="33" spans="2:2" x14ac:dyDescent="0.25">
      <c r="B33" t="s">
        <v>26</v>
      </c>
    </row>
    <row r="34" spans="2:2" x14ac:dyDescent="0.25">
      <c r="B34" t="s">
        <v>22</v>
      </c>
    </row>
    <row r="35" spans="2:2" x14ac:dyDescent="0.25">
      <c r="B35" t="s">
        <v>49</v>
      </c>
    </row>
    <row r="36" spans="2:2" x14ac:dyDescent="0.25">
      <c r="B36" t="s">
        <v>50</v>
      </c>
    </row>
    <row r="37" spans="2:2" x14ac:dyDescent="0.25">
      <c r="B37" t="s">
        <v>51</v>
      </c>
    </row>
    <row r="39" spans="2:2" x14ac:dyDescent="0.25">
      <c r="B39" t="s">
        <v>27</v>
      </c>
    </row>
    <row r="40" spans="2:2" x14ac:dyDescent="0.25">
      <c r="B40" t="s">
        <v>31</v>
      </c>
    </row>
    <row r="41" spans="2:2" x14ac:dyDescent="0.25">
      <c r="B41" t="s">
        <v>28</v>
      </c>
    </row>
    <row r="42" spans="2:2" x14ac:dyDescent="0.25">
      <c r="B42" t="s">
        <v>32</v>
      </c>
    </row>
    <row r="43" spans="2:2" x14ac:dyDescent="0.25">
      <c r="B43" t="s">
        <v>29</v>
      </c>
    </row>
    <row r="44" spans="2:2" x14ac:dyDescent="0.25">
      <c r="B44" t="s">
        <v>33</v>
      </c>
    </row>
    <row r="46" spans="2:2" x14ac:dyDescent="0.25">
      <c r="B46" t="s">
        <v>7</v>
      </c>
    </row>
    <row r="47" spans="2:2" x14ac:dyDescent="0.25">
      <c r="B47" t="s">
        <v>5</v>
      </c>
    </row>
    <row r="48" spans="2:2" x14ac:dyDescent="0.25">
      <c r="B48" t="s">
        <v>9</v>
      </c>
    </row>
    <row r="50" spans="2:2" x14ac:dyDescent="0.25">
      <c r="B50" t="s">
        <v>30</v>
      </c>
    </row>
    <row r="51" spans="2:2" x14ac:dyDescent="0.25">
      <c r="B51" t="s">
        <v>0</v>
      </c>
    </row>
    <row r="52" spans="2:2" x14ac:dyDescent="0.25">
      <c r="B52" t="s">
        <v>1</v>
      </c>
    </row>
    <row r="53" spans="2:2" x14ac:dyDescent="0.25">
      <c r="B53" t="s">
        <v>2</v>
      </c>
    </row>
    <row r="54" spans="2:2" x14ac:dyDescent="0.25">
      <c r="B54" t="s">
        <v>10</v>
      </c>
    </row>
    <row r="55" spans="2:2" x14ac:dyDescent="0.25">
      <c r="B55" t="s">
        <v>4</v>
      </c>
    </row>
    <row r="56" spans="2:2" x14ac:dyDescent="0.25">
      <c r="B56" t="s">
        <v>3</v>
      </c>
    </row>
    <row r="58" spans="2:2" x14ac:dyDescent="0.25">
      <c r="B58" t="s">
        <v>8</v>
      </c>
    </row>
    <row r="59" spans="2:2" x14ac:dyDescent="0.25">
      <c r="B59" t="s">
        <v>5</v>
      </c>
    </row>
    <row r="60" spans="2:2" x14ac:dyDescent="0.25">
      <c r="B60" t="s">
        <v>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DC29-F3C6-4B48-B7E9-6F9DD0128392}">
  <sheetPr codeName="Sheet4"/>
  <dimension ref="A1:U23"/>
  <sheetViews>
    <sheetView tabSelected="1" workbookViewId="0">
      <selection activeCell="J1" sqref="J1"/>
    </sheetView>
  </sheetViews>
  <sheetFormatPr defaultRowHeight="13.8" x14ac:dyDescent="0.25"/>
  <sheetData>
    <row r="1" spans="1:21" x14ac:dyDescent="0.25">
      <c r="A1" t="s">
        <v>11</v>
      </c>
      <c r="B1" t="s">
        <v>13</v>
      </c>
      <c r="C1" t="s">
        <v>14</v>
      </c>
      <c r="D1" t="s">
        <v>15</v>
      </c>
      <c r="E1" t="s">
        <v>18</v>
      </c>
      <c r="F1" t="s">
        <v>12</v>
      </c>
      <c r="G1" t="s">
        <v>16</v>
      </c>
      <c r="H1" t="s">
        <v>17</v>
      </c>
      <c r="I1" t="s">
        <v>52</v>
      </c>
      <c r="K1" t="s">
        <v>37</v>
      </c>
      <c r="L1" t="s">
        <v>39</v>
      </c>
      <c r="M1" t="s">
        <v>43</v>
      </c>
      <c r="N1" t="s">
        <v>44</v>
      </c>
      <c r="O1" t="s">
        <v>38</v>
      </c>
      <c r="P1" t="s">
        <v>40</v>
      </c>
      <c r="Q1" t="s">
        <v>41</v>
      </c>
      <c r="R1" t="s">
        <v>42</v>
      </c>
      <c r="S1" t="s">
        <v>55</v>
      </c>
      <c r="T1" t="s">
        <v>56</v>
      </c>
      <c r="U1" t="s">
        <v>57</v>
      </c>
    </row>
    <row r="2" spans="1:21" x14ac:dyDescent="0.25">
      <c r="A2">
        <v>1.0000000000000001E-5</v>
      </c>
      <c r="B2">
        <v>100</v>
      </c>
      <c r="C2">
        <v>98</v>
      </c>
      <c r="D2">
        <v>102</v>
      </c>
      <c r="E2">
        <v>0.16666666666666669</v>
      </c>
      <c r="F2">
        <v>100</v>
      </c>
      <c r="G2" s="3" t="s">
        <v>53</v>
      </c>
      <c r="H2" s="3" t="s">
        <v>54</v>
      </c>
      <c r="I2">
        <v>150</v>
      </c>
      <c r="K2">
        <v>100.014683531757</v>
      </c>
      <c r="L2">
        <v>1.2758734336998E-2</v>
      </c>
      <c r="M2">
        <v>99.990825004586199</v>
      </c>
      <c r="N2">
        <v>100.02513984093601</v>
      </c>
      <c r="O2">
        <v>100.01568009238601</v>
      </c>
      <c r="P2">
        <v>98.015639404812902</v>
      </c>
      <c r="Q2">
        <v>102.015720780443</v>
      </c>
      <c r="R2">
        <v>-1.5680092386901299E-2</v>
      </c>
      <c r="S2">
        <v>0.50008548950351694</v>
      </c>
      <c r="T2">
        <v>0.499803843708296</v>
      </c>
      <c r="U2">
        <v>0.50033134495956499</v>
      </c>
    </row>
    <row r="3" spans="1:21" x14ac:dyDescent="0.25">
      <c r="A3">
        <v>1</v>
      </c>
      <c r="B3">
        <v>200</v>
      </c>
      <c r="C3">
        <v>198</v>
      </c>
      <c r="D3">
        <v>202</v>
      </c>
      <c r="E3">
        <v>0.15151515151515152</v>
      </c>
      <c r="F3">
        <v>5.0000049999999998</v>
      </c>
      <c r="G3" s="3" t="s">
        <v>53</v>
      </c>
      <c r="H3" s="3" t="s">
        <v>54</v>
      </c>
      <c r="I3">
        <v>200</v>
      </c>
      <c r="K3">
        <v>23852.2044476956</v>
      </c>
      <c r="L3">
        <v>3709.30604428786</v>
      </c>
      <c r="M3">
        <v>37529.268807710498</v>
      </c>
      <c r="N3">
        <v>46767.646702579099</v>
      </c>
      <c r="O3">
        <v>199.985349941533</v>
      </c>
      <c r="P3">
        <v>197.98427408488899</v>
      </c>
      <c r="Q3">
        <v>201.98620485912599</v>
      </c>
      <c r="R3">
        <v>1.4650058466941099E-2</v>
      </c>
      <c r="S3">
        <v>1.0001465090585</v>
      </c>
      <c r="T3">
        <v>0.99949075010032395</v>
      </c>
      <c r="U3">
        <v>1.00073186929136</v>
      </c>
    </row>
    <row r="4" spans="1:21" x14ac:dyDescent="0.25">
      <c r="A4">
        <v>2</v>
      </c>
      <c r="B4">
        <v>300</v>
      </c>
      <c r="C4">
        <v>298</v>
      </c>
      <c r="D4">
        <v>302</v>
      </c>
      <c r="E4">
        <v>0.13636363636363635</v>
      </c>
      <c r="F4">
        <v>0.83333431818280301</v>
      </c>
      <c r="G4" s="3" t="s">
        <v>53</v>
      </c>
      <c r="H4" s="3" t="s">
        <v>54</v>
      </c>
      <c r="I4">
        <v>250</v>
      </c>
      <c r="K4">
        <v>1.0002773586010001</v>
      </c>
      <c r="L4" s="1">
        <v>4.5057468116519302E-5</v>
      </c>
      <c r="M4">
        <v>1.0001042796499</v>
      </c>
      <c r="N4">
        <v>1.0002085206472899</v>
      </c>
      <c r="O4">
        <v>299.98609560402099</v>
      </c>
      <c r="P4">
        <v>297.98146299076501</v>
      </c>
      <c r="Q4">
        <v>301.98983630052402</v>
      </c>
      <c r="R4">
        <v>1.39043959788978E-2</v>
      </c>
      <c r="S4">
        <v>1.5001558764807901</v>
      </c>
      <c r="T4">
        <v>1.49914166794149</v>
      </c>
      <c r="U4">
        <v>1.501066091175</v>
      </c>
    </row>
    <row r="5" spans="1:21" x14ac:dyDescent="0.25">
      <c r="A5">
        <v>3</v>
      </c>
      <c r="B5">
        <v>400</v>
      </c>
      <c r="C5">
        <v>398</v>
      </c>
      <c r="D5">
        <v>402</v>
      </c>
      <c r="E5">
        <v>0.12121212121212122</v>
      </c>
      <c r="F5">
        <v>1100</v>
      </c>
      <c r="G5" s="3" t="s">
        <v>53</v>
      </c>
      <c r="H5" s="3" t="s">
        <v>54</v>
      </c>
      <c r="I5">
        <v>350</v>
      </c>
      <c r="K5">
        <v>2391396.4258852899</v>
      </c>
      <c r="L5">
        <v>371273.83011533401</v>
      </c>
      <c r="M5">
        <v>3759717.2248561098</v>
      </c>
      <c r="N5">
        <v>4683038.6196255405</v>
      </c>
      <c r="O5">
        <v>399.99298945767799</v>
      </c>
      <c r="P5">
        <v>397.98272360679999</v>
      </c>
      <c r="Q5">
        <v>402.00132555348301</v>
      </c>
      <c r="R5">
        <v>7.0105423219501903E-3</v>
      </c>
      <c r="S5">
        <v>2.5001080727719498</v>
      </c>
      <c r="T5">
        <v>2.4984095223609599</v>
      </c>
      <c r="U5">
        <v>2.5016385000071901</v>
      </c>
    </row>
    <row r="6" spans="1:21" x14ac:dyDescent="0.25">
      <c r="A6">
        <v>4</v>
      </c>
      <c r="B6">
        <v>500</v>
      </c>
      <c r="C6">
        <v>498</v>
      </c>
      <c r="D6">
        <v>502</v>
      </c>
      <c r="E6">
        <v>0.10606060606060606</v>
      </c>
      <c r="G6" s="3"/>
      <c r="H6" s="3"/>
      <c r="I6">
        <v>450</v>
      </c>
      <c r="O6">
        <v>500.00094262091397</v>
      </c>
      <c r="P6">
        <v>497.983262581144</v>
      </c>
      <c r="Q6">
        <v>502.01535698201701</v>
      </c>
      <c r="R6">
        <v>-9.4262091442942598E-4</v>
      </c>
      <c r="S6">
        <v>3.50002981985658</v>
      </c>
      <c r="T6">
        <v>3.4976808331913101</v>
      </c>
      <c r="U6">
        <v>3.5021506478337598</v>
      </c>
    </row>
    <row r="7" spans="1:21" x14ac:dyDescent="0.25">
      <c r="A7">
        <v>5</v>
      </c>
      <c r="B7">
        <v>600</v>
      </c>
      <c r="C7">
        <v>598</v>
      </c>
      <c r="D7">
        <v>602</v>
      </c>
      <c r="E7">
        <v>9.0909090909090912E-2</v>
      </c>
      <c r="I7">
        <v>550</v>
      </c>
      <c r="O7">
        <v>600.00753806577995</v>
      </c>
      <c r="P7">
        <v>597.98090894489405</v>
      </c>
      <c r="Q7">
        <v>602.02932963835701</v>
      </c>
      <c r="R7">
        <v>-7.5380657799541898E-3</v>
      </c>
      <c r="S7">
        <v>4.4999548624877601</v>
      </c>
      <c r="T7">
        <v>4.49698384554772</v>
      </c>
      <c r="U7">
        <v>4.5026417865087298</v>
      </c>
    </row>
    <row r="8" spans="1:21" x14ac:dyDescent="0.25">
      <c r="A8">
        <v>6</v>
      </c>
      <c r="B8">
        <v>700</v>
      </c>
      <c r="C8">
        <v>698</v>
      </c>
      <c r="D8">
        <v>702</v>
      </c>
      <c r="E8">
        <v>7.575757575757576E-2</v>
      </c>
      <c r="I8">
        <v>650</v>
      </c>
      <c r="O8">
        <v>700.01135226991005</v>
      </c>
      <c r="P8">
        <v>697.97445665970099</v>
      </c>
      <c r="Q8">
        <v>702.04165965019604</v>
      </c>
      <c r="R8">
        <v>-1.13522699102759E-2</v>
      </c>
      <c r="S8">
        <v>5.4999014068902898</v>
      </c>
      <c r="T8">
        <v>5.4963338015593104</v>
      </c>
      <c r="U8">
        <v>5.5031330908631704</v>
      </c>
    </row>
    <row r="9" spans="1:21" x14ac:dyDescent="0.25">
      <c r="A9">
        <v>7</v>
      </c>
      <c r="B9">
        <v>800</v>
      </c>
      <c r="C9">
        <v>798</v>
      </c>
      <c r="D9">
        <v>802</v>
      </c>
      <c r="E9">
        <v>6.0606060606060608E-2</v>
      </c>
      <c r="I9">
        <v>750</v>
      </c>
      <c r="O9">
        <v>800.01144475769195</v>
      </c>
      <c r="P9">
        <v>797.96316232348704</v>
      </c>
      <c r="Q9">
        <v>802.05126216041901</v>
      </c>
      <c r="R9">
        <v>-1.14447576925158E-2</v>
      </c>
      <c r="S9">
        <v>6.4998808966556503</v>
      </c>
      <c r="T9">
        <v>6.49574028399502</v>
      </c>
      <c r="U9">
        <v>6.5036378686222696</v>
      </c>
    </row>
    <row r="10" spans="1:21" x14ac:dyDescent="0.25">
      <c r="A10">
        <v>8</v>
      </c>
      <c r="B10">
        <v>900</v>
      </c>
      <c r="C10">
        <v>898</v>
      </c>
      <c r="D10">
        <v>902</v>
      </c>
      <c r="E10">
        <v>4.5454545454545456E-2</v>
      </c>
      <c r="I10">
        <v>850</v>
      </c>
      <c r="O10">
        <v>900.00714725302498</v>
      </c>
      <c r="P10">
        <v>897.94653832363804</v>
      </c>
      <c r="Q10">
        <v>902.05733673600503</v>
      </c>
      <c r="R10">
        <v>-7.1472530253231499E-3</v>
      </c>
      <c r="S10">
        <v>7.4999012046329296</v>
      </c>
      <c r="T10">
        <v>7.4952098873917397</v>
      </c>
      <c r="U10">
        <v>7.5041652737021902</v>
      </c>
    </row>
    <row r="11" spans="1:21" x14ac:dyDescent="0.25">
      <c r="A11">
        <v>9</v>
      </c>
      <c r="B11">
        <v>1000</v>
      </c>
      <c r="C11">
        <v>998</v>
      </c>
      <c r="D11">
        <v>1002</v>
      </c>
      <c r="E11">
        <v>3.0303030303030304E-2</v>
      </c>
      <c r="I11">
        <v>950</v>
      </c>
      <c r="O11">
        <v>999.99796024523596</v>
      </c>
      <c r="P11">
        <v>997.92425168038505</v>
      </c>
      <c r="Q11">
        <v>1002.05926182076</v>
      </c>
      <c r="R11">
        <v>2.03975476324558E-3</v>
      </c>
      <c r="S11">
        <v>8.4999680839926803</v>
      </c>
      <c r="T11">
        <v>8.4947474323515806</v>
      </c>
      <c r="U11">
        <v>8.5047219942278804</v>
      </c>
    </row>
    <row r="12" spans="1:21" x14ac:dyDescent="0.25">
      <c r="A12">
        <v>10</v>
      </c>
      <c r="B12">
        <v>1100</v>
      </c>
      <c r="C12">
        <v>1098</v>
      </c>
      <c r="D12">
        <v>1102</v>
      </c>
      <c r="E12">
        <v>1.5151515151515152E-2</v>
      </c>
      <c r="I12">
        <v>1050</v>
      </c>
      <c r="O12">
        <v>1099.98349617235</v>
      </c>
      <c r="P12">
        <v>1097.8960687010699</v>
      </c>
      <c r="Q12">
        <v>1102.05653659669</v>
      </c>
      <c r="R12">
        <v>1.6503827646374699E-2</v>
      </c>
      <c r="S12">
        <v>9.50008592523705</v>
      </c>
      <c r="T12">
        <v>9.4943565990883894</v>
      </c>
      <c r="U12">
        <v>9.5053131332036305</v>
      </c>
    </row>
    <row r="13" spans="1:21" x14ac:dyDescent="0.25">
      <c r="I13">
        <v>150</v>
      </c>
      <c r="S13">
        <v>0.50008548950351694</v>
      </c>
      <c r="T13">
        <v>0.499803843708296</v>
      </c>
      <c r="U13">
        <v>0.50033134495956499</v>
      </c>
    </row>
    <row r="14" spans="1:21" x14ac:dyDescent="0.25">
      <c r="I14">
        <v>200</v>
      </c>
      <c r="S14">
        <v>1.0001465090585</v>
      </c>
      <c r="T14">
        <v>0.99949075010032395</v>
      </c>
      <c r="U14">
        <v>1.00073186929136</v>
      </c>
    </row>
    <row r="15" spans="1:21" x14ac:dyDescent="0.25">
      <c r="I15">
        <v>250</v>
      </c>
      <c r="S15">
        <v>1.5001558764807901</v>
      </c>
      <c r="T15">
        <v>1.49914166794149</v>
      </c>
      <c r="U15">
        <v>1.501066091175</v>
      </c>
    </row>
    <row r="16" spans="1:21" x14ac:dyDescent="0.25">
      <c r="I16">
        <v>350</v>
      </c>
      <c r="S16">
        <v>2.5001080727719498</v>
      </c>
      <c r="T16">
        <v>2.4984095223609599</v>
      </c>
      <c r="U16">
        <v>2.5016385000071901</v>
      </c>
    </row>
    <row r="17" spans="9:21" x14ac:dyDescent="0.25">
      <c r="I17">
        <v>450</v>
      </c>
      <c r="S17">
        <v>3.50002981985658</v>
      </c>
      <c r="T17">
        <v>3.4976808331913101</v>
      </c>
      <c r="U17">
        <v>3.5021506478337598</v>
      </c>
    </row>
    <row r="18" spans="9:21" x14ac:dyDescent="0.25">
      <c r="I18">
        <v>550</v>
      </c>
      <c r="S18">
        <v>4.4999548624877601</v>
      </c>
      <c r="T18">
        <v>4.49698384554772</v>
      </c>
      <c r="U18">
        <v>4.5026417865087298</v>
      </c>
    </row>
    <row r="19" spans="9:21" x14ac:dyDescent="0.25">
      <c r="I19">
        <v>650</v>
      </c>
      <c r="S19">
        <v>5.4999014068902898</v>
      </c>
      <c r="T19">
        <v>5.4963338015593104</v>
      </c>
      <c r="U19">
        <v>5.5031330908631704</v>
      </c>
    </row>
    <row r="20" spans="9:21" x14ac:dyDescent="0.25">
      <c r="I20">
        <v>750</v>
      </c>
      <c r="S20">
        <v>6.4998808966556503</v>
      </c>
      <c r="T20">
        <v>6.49574028399502</v>
      </c>
      <c r="U20">
        <v>6.5036378686222696</v>
      </c>
    </row>
    <row r="21" spans="9:21" x14ac:dyDescent="0.25">
      <c r="I21">
        <v>850</v>
      </c>
      <c r="S21">
        <v>7.4999012046329296</v>
      </c>
      <c r="T21">
        <v>7.4952098873917397</v>
      </c>
      <c r="U21">
        <v>7.5041652737021902</v>
      </c>
    </row>
    <row r="22" spans="9:21" x14ac:dyDescent="0.25">
      <c r="I22">
        <v>950</v>
      </c>
      <c r="S22">
        <v>8.4999680839926803</v>
      </c>
      <c r="T22">
        <v>8.4947474323515806</v>
      </c>
      <c r="U22">
        <v>8.5047219942278804</v>
      </c>
    </row>
    <row r="23" spans="9:21" x14ac:dyDescent="0.25">
      <c r="I23">
        <v>1050</v>
      </c>
      <c r="S23">
        <v>9.50008592523705</v>
      </c>
      <c r="T23">
        <v>9.4943565990883894</v>
      </c>
      <c r="U23">
        <v>9.5053131332036305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Statistics 説明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2025-07-05T04:54:54Z</dcterms:modified>
</cp:coreProperties>
</file>